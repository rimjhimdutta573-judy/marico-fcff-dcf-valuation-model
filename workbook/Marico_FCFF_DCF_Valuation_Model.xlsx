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IIT0001\Documents\Rimjhim_GitHub_Project_Publishing\marico-fcff-dcf-valuation-model\workbook\"/>
    </mc:Choice>
  </mc:AlternateContent>
  <xr:revisionPtr revIDLastSave="0" documentId="13_ncr:1_{028DBE8E-B58A-49E4-B4C6-FE65C41C90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umptions" sheetId="1" r:id="rId1"/>
    <sheet name="Forecast" sheetId="2" r:id="rId2"/>
    <sheet name="FCFF" sheetId="3" r:id="rId3"/>
    <sheet name="WACC_DCF" sheetId="4" r:id="rId4"/>
    <sheet name="Historical_Data" sheetId="7" r:id="rId5"/>
    <sheet name="Audit" sheetId="6" r:id="rId6"/>
    <sheet name="Source_Note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6" l="1"/>
  <c r="B7" i="6"/>
  <c r="B12" i="4"/>
  <c r="B13" i="4" s="1"/>
  <c r="B9" i="4"/>
  <c r="B10" i="4" s="1"/>
  <c r="B7" i="4"/>
  <c r="H12" i="2"/>
  <c r="G12" i="2"/>
  <c r="F12" i="2"/>
  <c r="E20" i="2"/>
  <c r="E19" i="2"/>
  <c r="E18" i="2"/>
  <c r="E21" i="2" s="1"/>
  <c r="E17" i="2"/>
  <c r="E16" i="2"/>
  <c r="E15" i="2"/>
  <c r="E14" i="2"/>
  <c r="E11" i="2"/>
  <c r="E10" i="2"/>
  <c r="E7" i="2"/>
  <c r="E5" i="2"/>
  <c r="E6" i="2" s="1"/>
  <c r="E4" i="2"/>
  <c r="E2" i="2"/>
  <c r="D20" i="2"/>
  <c r="D19" i="2"/>
  <c r="D18" i="2"/>
  <c r="D17" i="2"/>
  <c r="D16" i="2"/>
  <c r="D15" i="2"/>
  <c r="D14" i="2"/>
  <c r="D11" i="2"/>
  <c r="D10" i="2"/>
  <c r="D12" i="2" s="1"/>
  <c r="D7" i="2"/>
  <c r="D5" i="2"/>
  <c r="D4" i="2"/>
  <c r="D2" i="2"/>
  <c r="C20" i="2"/>
  <c r="C19" i="2"/>
  <c r="C18" i="2"/>
  <c r="C17" i="2"/>
  <c r="C16" i="2"/>
  <c r="C15" i="2"/>
  <c r="C14" i="2"/>
  <c r="C11" i="2"/>
  <c r="C10" i="2"/>
  <c r="C12" i="2" s="1"/>
  <c r="C7" i="2"/>
  <c r="C5" i="2"/>
  <c r="C4" i="2"/>
  <c r="C2" i="2"/>
  <c r="B10" i="6" s="1"/>
  <c r="E20" i="7"/>
  <c r="D20" i="7"/>
  <c r="C20" i="7"/>
  <c r="E7" i="7"/>
  <c r="D7" i="7"/>
  <c r="C7" i="7"/>
  <c r="E5" i="7"/>
  <c r="D5" i="7"/>
  <c r="C5" i="7"/>
  <c r="D29" i="4"/>
  <c r="C29" i="4"/>
  <c r="B29" i="4"/>
  <c r="B14" i="4" l="1"/>
  <c r="B15" i="4"/>
  <c r="C21" i="2"/>
  <c r="E8" i="2"/>
  <c r="E9" i="2" s="1"/>
  <c r="E12" i="2"/>
  <c r="D21" i="2"/>
  <c r="E22" i="2" s="1"/>
  <c r="D8" i="2"/>
  <c r="D13" i="2" s="1"/>
  <c r="D6" i="2"/>
  <c r="D9" i="2"/>
  <c r="C8" i="2"/>
  <c r="C9" i="2" s="1"/>
  <c r="C6" i="2"/>
  <c r="F2" i="2"/>
  <c r="D3" i="2"/>
  <c r="E3" i="2"/>
  <c r="E13" i="2" l="1"/>
  <c r="F14" i="2"/>
  <c r="F18" i="2"/>
  <c r="F16" i="2"/>
  <c r="F19" i="2"/>
  <c r="F20" i="2"/>
  <c r="F17" i="2"/>
  <c r="F7" i="2"/>
  <c r="F15" i="2" s="1"/>
  <c r="B5" i="3" s="1"/>
  <c r="F5" i="2"/>
  <c r="B16" i="4"/>
  <c r="D22" i="2"/>
  <c r="C13" i="2"/>
  <c r="B6" i="3"/>
  <c r="G2" i="2"/>
  <c r="F3" i="2"/>
  <c r="G3" i="2"/>
  <c r="B12" i="6" l="1"/>
  <c r="B4" i="6"/>
  <c r="B3" i="6"/>
  <c r="G17" i="2"/>
  <c r="G5" i="2"/>
  <c r="G14" i="2"/>
  <c r="C6" i="3" s="1"/>
  <c r="G18" i="2"/>
  <c r="G20" i="2"/>
  <c r="G19" i="2"/>
  <c r="G7" i="2"/>
  <c r="G15" i="2" s="1"/>
  <c r="C5" i="3" s="1"/>
  <c r="G16" i="2"/>
  <c r="F8" i="2"/>
  <c r="F9" i="2" s="1"/>
  <c r="F21" i="2"/>
  <c r="F22" i="2" s="1"/>
  <c r="B7" i="3" s="1"/>
  <c r="H2" i="2"/>
  <c r="H3" i="2"/>
  <c r="B9" i="6" l="1"/>
  <c r="F13" i="2"/>
  <c r="B4" i="3" s="1"/>
  <c r="B8" i="3" s="1"/>
  <c r="H18" i="2"/>
  <c r="H14" i="2"/>
  <c r="D6" i="3" s="1"/>
  <c r="H17" i="2"/>
  <c r="H7" i="2"/>
  <c r="H16" i="2"/>
  <c r="H19" i="2"/>
  <c r="H20" i="2"/>
  <c r="H5" i="2"/>
  <c r="G21" i="2"/>
  <c r="G22" i="2" s="1"/>
  <c r="C7" i="3" s="1"/>
  <c r="H15" i="2"/>
  <c r="D5" i="3" s="1"/>
  <c r="G8" i="2"/>
  <c r="B28" i="4" l="1"/>
  <c r="H21" i="2"/>
  <c r="H22" i="2" s="1"/>
  <c r="D7" i="3" s="1"/>
  <c r="G9" i="2"/>
  <c r="G13" i="2"/>
  <c r="C4" i="3" s="1"/>
  <c r="C8" i="3" s="1"/>
  <c r="C28" i="4" s="1"/>
  <c r="H8" i="2"/>
  <c r="B23" i="4"/>
  <c r="B30" i="4"/>
  <c r="B31" i="4" s="1"/>
  <c r="C30" i="4"/>
  <c r="D30" i="4"/>
  <c r="C31" i="4" l="1"/>
  <c r="H9" i="2"/>
  <c r="H13" i="2"/>
  <c r="D4" i="3" s="1"/>
  <c r="D8" i="3" s="1"/>
  <c r="B11" i="6" s="1"/>
  <c r="B20" i="4" l="1"/>
  <c r="B21" i="4" s="1"/>
  <c r="B22" i="4" s="1"/>
  <c r="B5" i="6" s="1"/>
  <c r="D28" i="4"/>
  <c r="D31" i="4" s="1"/>
  <c r="B33" i="4" s="1"/>
  <c r="B24" i="4" l="1"/>
  <c r="B34" i="4" s="1"/>
  <c r="B35" i="4" s="1"/>
  <c r="B6" i="6" s="1"/>
  <c r="G12" i="4" l="1"/>
</calcChain>
</file>

<file path=xl/sharedStrings.xml><?xml version="1.0" encoding="utf-8"?>
<sst xmlns="http://schemas.openxmlformats.org/spreadsheetml/2006/main" count="390" uniqueCount="167">
  <si>
    <t>Assumption</t>
  </si>
  <si>
    <t>Revenue Growth</t>
  </si>
  <si>
    <t>EBIT Margin</t>
  </si>
  <si>
    <t>Tax Rate</t>
  </si>
  <si>
    <t>FY26E</t>
  </si>
  <si>
    <t>FY27E</t>
  </si>
  <si>
    <t>FY28E</t>
  </si>
  <si>
    <t>Category</t>
  </si>
  <si>
    <t>Metric</t>
  </si>
  <si>
    <t>FY23A</t>
  </si>
  <si>
    <t>FY24A</t>
  </si>
  <si>
    <t>FY25A</t>
  </si>
  <si>
    <t>Unit</t>
  </si>
  <si>
    <t>Source / Formula</t>
  </si>
  <si>
    <t>Revenue</t>
  </si>
  <si>
    <t>Profitability</t>
  </si>
  <si>
    <t>Tax</t>
  </si>
  <si>
    <t>Cash Flow</t>
  </si>
  <si>
    <t>Working Capital</t>
  </si>
  <si>
    <t>Revenue from Operations</t>
  </si>
  <si>
    <t>Other Income</t>
  </si>
  <si>
    <t>EBITDA</t>
  </si>
  <si>
    <t>EBITDA Margin</t>
  </si>
  <si>
    <t>Depreciation &amp; Amortisation</t>
  </si>
  <si>
    <t>EBIT</t>
  </si>
  <si>
    <t>Tax Expense</t>
  </si>
  <si>
    <t>NOPAT</t>
  </si>
  <si>
    <t>Capital Expenditure</t>
  </si>
  <si>
    <t>D&amp;A</t>
  </si>
  <si>
    <t>Trade Receivables</t>
  </si>
  <si>
    <t>Inventories</t>
  </si>
  <si>
    <t>Other Operating Current Assets</t>
  </si>
  <si>
    <t>Trade Payables</t>
  </si>
  <si>
    <t>Other Operating Current Liabilities</t>
  </si>
  <si>
    <t>Operating Net Working Capital</t>
  </si>
  <si>
    <t>Change in NWC</t>
  </si>
  <si>
    <t>₹ crore</t>
  </si>
  <si>
    <t>%</t>
  </si>
  <si>
    <t>PBT</t>
  </si>
  <si>
    <t>Marico FCFF DCF — Forecast Assumptions</t>
  </si>
  <si>
    <t>Capex as % of Revenue</t>
  </si>
  <si>
    <t>D&amp;A as % of Revenue</t>
  </si>
  <si>
    <t>Trade Receivables as % of Revenue</t>
  </si>
  <si>
    <t>Inventories as % of Revenue</t>
  </si>
  <si>
    <t>Other Operating Current Assets as % of Revenue</t>
  </si>
  <si>
    <t>Trade Payables as % of Revenue</t>
  </si>
  <si>
    <t>Other Operating Current Liabilities as % of Revenue</t>
  </si>
  <si>
    <t>FY26E (B)</t>
  </si>
  <si>
    <t>FY28E (D)</t>
  </si>
  <si>
    <t>FCFF Calculation</t>
  </si>
  <si>
    <t>FCFF</t>
  </si>
  <si>
    <t>WACC Calculation</t>
  </si>
  <si>
    <t>Component</t>
  </si>
  <si>
    <t>Value</t>
  </si>
  <si>
    <t>Risk-Free Rate</t>
  </si>
  <si>
    <t>Beta</t>
  </si>
  <si>
    <t>Market Risk Premium</t>
  </si>
  <si>
    <t>Cost of Equity</t>
  </si>
  <si>
    <t>Pre-Tax Cost of Debt</t>
  </si>
  <si>
    <t>After-Tax Cost of Debt</t>
  </si>
  <si>
    <t>Debt Value</t>
  </si>
  <si>
    <t>Total Capital</t>
  </si>
  <si>
    <t>Equity Weight</t>
  </si>
  <si>
    <t>Debt Weight</t>
  </si>
  <si>
    <t>WACC</t>
  </si>
  <si>
    <t>FY27E (C)</t>
  </si>
  <si>
    <t>Terminal Value</t>
  </si>
  <si>
    <t>Terminal Growth Rate</t>
  </si>
  <si>
    <t>FY28E FCFF</t>
  </si>
  <si>
    <t>Terminal Year FCFF</t>
  </si>
  <si>
    <t>PV Factor — FY28E</t>
  </si>
  <si>
    <t>Present Value of Terminal Value</t>
  </si>
  <si>
    <t>DCF Valuation</t>
  </si>
  <si>
    <t>Discount Period</t>
  </si>
  <si>
    <t>Discount Factor</t>
  </si>
  <si>
    <t>PV of FCFF</t>
  </si>
  <si>
    <t>PV of Explicit FCFF</t>
  </si>
  <si>
    <t>PV of Terminal Value</t>
  </si>
  <si>
    <t>Enterprise Value</t>
  </si>
  <si>
    <t>Marico FCFF DCF — Sensitivity Analysis</t>
  </si>
  <si>
    <t>Audit check</t>
  </si>
  <si>
    <t>Results</t>
  </si>
  <si>
    <t>FY23</t>
  </si>
  <si>
    <t>FY24</t>
  </si>
  <si>
    <t>FY25</t>
  </si>
  <si>
    <t xml:space="preserve">Unit </t>
  </si>
  <si>
    <t>FY23 Source</t>
  </si>
  <si>
    <t>FY23 Page</t>
  </si>
  <si>
    <t>FY24 Source</t>
  </si>
  <si>
    <t>FY24 Page</t>
  </si>
  <si>
    <t>FY25 Source</t>
  </si>
  <si>
    <t>FY25 Page</t>
  </si>
  <si>
    <t>Notes</t>
  </si>
  <si>
    <t>S-002</t>
  </si>
  <si>
    <t>388-389</t>
  </si>
  <si>
    <t>S-001</t>
  </si>
  <si>
    <t>380-381</t>
  </si>
  <si>
    <t>Consolidated financial statements; Note 19</t>
  </si>
  <si>
    <t>Consolidated financial statements; Note 20</t>
  </si>
  <si>
    <t>216-217</t>
  </si>
  <si>
    <t>502-503</t>
  </si>
  <si>
    <t>500-501</t>
  </si>
  <si>
    <t>Calculated</t>
  </si>
  <si>
    <t>Calculated as EBITDA / Revenue from Operations</t>
  </si>
  <si>
    <t>Consolidated financial performance</t>
  </si>
  <si>
    <t>Calculated as EBITDA less D&amp;A; excludes Other Income for FCFF operating EBIT</t>
  </si>
  <si>
    <t>Finance Cost</t>
  </si>
  <si>
    <t>Profit Before Tax</t>
  </si>
  <si>
    <t>Profit After Tax</t>
  </si>
  <si>
    <t>80-81</t>
  </si>
  <si>
    <t>66-67</t>
  </si>
  <si>
    <t>Capital expenditure for capacity expansion and maintenance; consolidated</t>
  </si>
  <si>
    <t>Depreciation &amp; Amortisation — Cash Flow Add-back</t>
  </si>
  <si>
    <t>Cash Flow from Operating Activities</t>
  </si>
  <si>
    <t>346-347</t>
  </si>
  <si>
    <t>338-339</t>
  </si>
  <si>
    <t>Net cash generated from operating activities; FY24 source report presents ₹1,436 crore</t>
  </si>
  <si>
    <t>342-343</t>
  </si>
  <si>
    <t>334-335</t>
  </si>
  <si>
    <t>Consolidated balance sheet; Note 6(b)</t>
  </si>
  <si>
    <t>Consolidated balance sheet; Note 9</t>
  </si>
  <si>
    <t>372-373</t>
  </si>
  <si>
    <t>364-365</t>
  </si>
  <si>
    <t>Consolidated trade payables; Note 13(c)</t>
  </si>
  <si>
    <t>Other current liabilities; treated as operating current liabilities for NWC</t>
  </si>
  <si>
    <t>Calculated as Trade Receivables + Inventories + Other Operating Current Assets − Trade Payables − Other Operating Current Liabilities</t>
  </si>
  <si>
    <t>Balance Sheet</t>
  </si>
  <si>
    <t>Cash &amp; Cash Equivalents</t>
  </si>
  <si>
    <t>Consolidated balance sheet; Note 6(d)</t>
  </si>
  <si>
    <t>Other Cash / Liquid Investments</t>
  </si>
  <si>
    <t>Current investments; treated as liquid investments for enterprise-to-equity bridge</t>
  </si>
  <si>
    <t>Debt</t>
  </si>
  <si>
    <t>Borrowings</t>
  </si>
  <si>
    <t>Consolidated borrowings; includes current and non-current borrowings</t>
  </si>
  <si>
    <t>Equity</t>
  </si>
  <si>
    <t>Equity Share Capital</t>
  </si>
  <si>
    <t>Reported consolidated equity share capital; FY25 balance-sheet amount rounds to ₹130 crore</t>
  </si>
  <si>
    <t>Shares Outstanding</t>
  </si>
  <si>
    <t>crore shares</t>
  </si>
  <si>
    <t>362-363</t>
  </si>
  <si>
    <t>Issued, subscribed and paid-up equity shares; converted to crore shares</t>
  </si>
  <si>
    <t>Other current assets; FY25 corrected to ₹413 crore per consolidated balance sheet in Marico FY25 Integrated Annual Report, p. 334-335.</t>
  </si>
  <si>
    <t>Market Value of Equity</t>
  </si>
  <si>
    <t>WACC Override (Sensitivity Only)</t>
  </si>
  <si>
    <t>Base WACC positive; no manual override</t>
  </si>
  <si>
    <t>Terminal growth &lt; WACC</t>
  </si>
  <si>
    <t>Terminal value is positive</t>
  </si>
  <si>
    <t>Enterprise value reconciliation</t>
  </si>
  <si>
    <t>Sensitivity table complete</t>
  </si>
  <si>
    <t>Sensitivity directional check</t>
  </si>
  <si>
    <t>Forecast assumptions are linked</t>
  </si>
  <si>
    <t>Historical revenue tie-out</t>
  </si>
  <si>
    <t>FCFF reconciliation</t>
  </si>
  <si>
    <t>Formula-driven WACC chain</t>
  </si>
  <si>
    <t>Source_Notes</t>
  </si>
  <si>
    <t>Valuation date</t>
  </si>
  <si>
    <t>31 March 2025. The prior trading day (28 March 2025) is used where the market was closed.</t>
  </si>
  <si>
    <t>Financial statements</t>
  </si>
  <si>
    <t>https://marico.com/investorspdf/Marico_Annual_Report_FY25.pdf</t>
  </si>
  <si>
    <t>Risk-free rate</t>
  </si>
  <si>
    <t>https://economictimes.indiatimes.com/markets/bonds/india-10-year-bond-yield-sees-biggest-drop-in-half-a-decade-on-foreign-flows-rate-cut/articleshow/119653311.cms</t>
  </si>
  <si>
    <t>India equity-risk premium</t>
  </si>
  <si>
    <t>https://pages.stern.nyu.edu/~adamodar/pdfiles/country/val2dayIndia2025.pdf</t>
  </si>
  <si>
    <t>Beta price series</t>
  </si>
  <si>
    <t>https://finance.yahoo.com/quote/MARICO.NS/history/ and https://finance.yahoo.com/quote/%5ENSEI/history/</t>
  </si>
  <si>
    <t>Calculation note</t>
  </si>
  <si>
    <t>Beta is an analyst calculation using 261 weekly adjusted-return observations ending 30 March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</si>
</sst>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\x"/>
  </numFmts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0" fontId="0" fillId="0" borderId="0" xfId="0" applyNumberFormat="1"/>
    <xf numFmtId="3" fontId="0" fillId="0" borderId="0" xfId="0" applyNumberFormat="1"/>
    <xf numFmtId="10" fontId="1" fillId="0" borderId="0" xfId="1" applyNumberFormat="1" applyFont="1" applyAlignment="1">
      <alignment vertical="center"/>
    </xf>
    <xf numFmtId="10" fontId="0" fillId="0" borderId="0" xfId="1" applyNumberFormat="1" applyFont="1"/>
    <xf numFmtId="164" fontId="0" fillId="0" borderId="0" xfId="0" applyNumberFormat="1"/>
    <xf numFmtId="2" fontId="0" fillId="0" borderId="0" xfId="0" applyNumberFormat="1"/>
    <xf numFmtId="2" fontId="1" fillId="0" borderId="0" xfId="0" applyNumberFormat="1" applyFont="1" applyAlignment="1">
      <alignment vertical="center"/>
    </xf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1" xfId="0" applyBorder="1"/>
    <xf numFmtId="165" fontId="1" fillId="0" borderId="0" xfId="0" applyNumberFormat="1" applyFont="1" applyAlignment="1">
      <alignment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8" sqref="F8"/>
    </sheetView>
  </sheetViews>
  <sheetFormatPr defaultRowHeight="14.5"/>
  <cols>
    <col min="1" max="1" width="44" bestFit="1" customWidth="1"/>
    <col min="5" max="5" width="16.08984375" bestFit="1" customWidth="1"/>
  </cols>
  <sheetData>
    <row r="1" spans="1:4">
      <c r="A1" t="s">
        <v>39</v>
      </c>
    </row>
    <row r="3" spans="1:4">
      <c r="A3" t="s">
        <v>0</v>
      </c>
      <c r="B3" t="s">
        <v>47</v>
      </c>
      <c r="C3" t="s">
        <v>65</v>
      </c>
      <c r="D3" t="s">
        <v>48</v>
      </c>
    </row>
    <row r="4" spans="1:4">
      <c r="A4" t="s">
        <v>1</v>
      </c>
      <c r="B4" s="3">
        <v>5.5300000000000002E-2</v>
      </c>
      <c r="C4" s="3">
        <v>5.5300000000000002E-2</v>
      </c>
      <c r="D4" s="3">
        <v>5.5300000000000002E-2</v>
      </c>
    </row>
    <row r="5" spans="1:4">
      <c r="A5" t="s">
        <v>22</v>
      </c>
      <c r="B5" s="3">
        <v>0.1976</v>
      </c>
      <c r="C5" s="3">
        <v>0.1976</v>
      </c>
      <c r="D5" s="3">
        <v>0.1976</v>
      </c>
    </row>
    <row r="6" spans="1:4">
      <c r="A6" t="s">
        <v>3</v>
      </c>
      <c r="B6" s="3">
        <v>0.22750000000000001</v>
      </c>
      <c r="C6" s="3">
        <v>0.22750000000000001</v>
      </c>
      <c r="D6" s="3">
        <v>0.22750000000000001</v>
      </c>
    </row>
    <row r="7" spans="1:4">
      <c r="A7" t="s">
        <v>40</v>
      </c>
      <c r="B7" s="3">
        <v>1.6500000000000001E-2</v>
      </c>
      <c r="C7" s="3">
        <v>1.6500000000000001E-2</v>
      </c>
      <c r="D7" s="3">
        <v>1.6500000000000001E-2</v>
      </c>
    </row>
    <row r="8" spans="1:4">
      <c r="A8" t="s">
        <v>41</v>
      </c>
      <c r="B8" s="3">
        <v>1.6199999999999999E-2</v>
      </c>
      <c r="C8" s="3">
        <v>1.6199999999999999E-2</v>
      </c>
      <c r="D8" s="3">
        <v>1.6199999999999999E-2</v>
      </c>
    </row>
    <row r="9" spans="1:4">
      <c r="A9" t="s">
        <v>42</v>
      </c>
      <c r="B9" s="3">
        <v>0.11070000000000001</v>
      </c>
      <c r="C9" s="3">
        <v>0.11070000000000001</v>
      </c>
      <c r="D9" s="3">
        <v>0.11070000000000001</v>
      </c>
    </row>
    <row r="10" spans="1:4">
      <c r="A10" t="s">
        <v>43</v>
      </c>
      <c r="B10" s="3">
        <v>0.126</v>
      </c>
      <c r="C10" s="3">
        <v>0.126</v>
      </c>
      <c r="D10" s="3">
        <v>0.126</v>
      </c>
    </row>
    <row r="11" spans="1:4">
      <c r="A11" t="s">
        <v>44</v>
      </c>
      <c r="B11" s="3">
        <v>3.3599999999999998E-2</v>
      </c>
      <c r="C11" s="3">
        <v>3.3599999999999998E-2</v>
      </c>
      <c r="D11" s="3">
        <v>3.3599999999999998E-2</v>
      </c>
    </row>
    <row r="12" spans="1:4">
      <c r="A12" t="s">
        <v>45</v>
      </c>
      <c r="B12" s="3">
        <v>0.14610000000000001</v>
      </c>
      <c r="C12" s="3">
        <v>0.14610000000000001</v>
      </c>
      <c r="D12" s="3">
        <v>0.14610000000000001</v>
      </c>
    </row>
    <row r="13" spans="1:4">
      <c r="A13" t="s">
        <v>46</v>
      </c>
      <c r="B13" s="3">
        <v>2.18E-2</v>
      </c>
      <c r="C13" s="3">
        <v>2.18E-2</v>
      </c>
      <c r="D13" s="3">
        <v>2.18E-2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14B5B-3EF4-481F-83A9-E5DF0A91F8CF}">
  <dimension ref="A1:J22"/>
  <sheetViews>
    <sheetView zoomScale="76" workbookViewId="0">
      <selection activeCell="L20" sqref="L20"/>
    </sheetView>
  </sheetViews>
  <sheetFormatPr defaultRowHeight="14.5"/>
  <cols>
    <col min="1" max="1" width="14.08984375" bestFit="1" customWidth="1"/>
    <col min="2" max="2" width="29.7265625" bestFit="1" customWidth="1"/>
    <col min="10" max="10" width="15.1796875" bestFit="1" customWidth="1"/>
  </cols>
  <sheetData>
    <row r="1" spans="1:10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4</v>
      </c>
      <c r="G1" t="s">
        <v>5</v>
      </c>
      <c r="H1" t="s">
        <v>6</v>
      </c>
      <c r="I1" t="s">
        <v>12</v>
      </c>
      <c r="J1" t="s">
        <v>13</v>
      </c>
    </row>
    <row r="2" spans="1:10">
      <c r="A2" t="s">
        <v>14</v>
      </c>
      <c r="B2" t="s">
        <v>19</v>
      </c>
      <c r="C2">
        <f>Historical_Data!C2</f>
        <v>9764</v>
      </c>
      <c r="D2">
        <f>Historical_Data!D2</f>
        <v>9653</v>
      </c>
      <c r="E2">
        <f>Historical_Data!E2</f>
        <v>10831</v>
      </c>
      <c r="F2" s="1">
        <f>E2*(1+Assumptions!B4)</f>
        <v>11429.954299999999</v>
      </c>
      <c r="G2">
        <f>F2*(1+Assumptions!C4)</f>
        <v>12062.030772789998</v>
      </c>
      <c r="H2" s="1">
        <f>G2*(1+Assumptions!D4)</f>
        <v>12729.061074525283</v>
      </c>
      <c r="I2" t="s">
        <v>36</v>
      </c>
    </row>
    <row r="3" spans="1:10">
      <c r="A3" t="s">
        <v>14</v>
      </c>
      <c r="B3" t="s">
        <v>1</v>
      </c>
      <c r="C3" s="3"/>
      <c r="D3" s="3">
        <f>D2/C2-1</f>
        <v>-1.1368291683736209E-2</v>
      </c>
      <c r="E3" s="3">
        <f>E2/D2-1</f>
        <v>0.12203460064228744</v>
      </c>
      <c r="F3" s="5">
        <f>F2/E2-1</f>
        <v>5.5299999999999905E-2</v>
      </c>
      <c r="G3" s="5">
        <f>G2/F2-1</f>
        <v>5.5299999999999905E-2</v>
      </c>
      <c r="H3" s="5">
        <f>H2/G2-1</f>
        <v>5.5299999999999905E-2</v>
      </c>
      <c r="I3" t="s">
        <v>37</v>
      </c>
    </row>
    <row r="4" spans="1:10">
      <c r="A4" t="s">
        <v>14</v>
      </c>
      <c r="B4" t="s">
        <v>20</v>
      </c>
      <c r="C4">
        <f>Historical_Data!C3</f>
        <v>144</v>
      </c>
      <c r="D4">
        <f>Historical_Data!D3</f>
        <v>142</v>
      </c>
      <c r="E4">
        <f>Historical_Data!E3</f>
        <v>208</v>
      </c>
      <c r="I4" t="s">
        <v>36</v>
      </c>
    </row>
    <row r="5" spans="1:10">
      <c r="A5" t="s">
        <v>15</v>
      </c>
      <c r="B5" t="s">
        <v>21</v>
      </c>
      <c r="C5">
        <f>Historical_Data!C4</f>
        <v>1810</v>
      </c>
      <c r="D5">
        <f>Historical_Data!D4</f>
        <v>2026</v>
      </c>
      <c r="E5">
        <f>Historical_Data!E4</f>
        <v>2139</v>
      </c>
      <c r="F5">
        <f>F2*Assumptions!B5</f>
        <v>2258.5589696799998</v>
      </c>
      <c r="G5" s="1">
        <f>G2*Assumptions!C5</f>
        <v>2383.4572807033037</v>
      </c>
      <c r="H5" s="1">
        <f>H2*Assumptions!D5</f>
        <v>2515.2624683261961</v>
      </c>
      <c r="I5" t="s">
        <v>36</v>
      </c>
    </row>
    <row r="6" spans="1:10">
      <c r="A6" t="s">
        <v>15</v>
      </c>
      <c r="B6" t="s">
        <v>22</v>
      </c>
      <c r="C6" s="3">
        <f>C5/C2</f>
        <v>0.18537484637443671</v>
      </c>
      <c r="D6" s="3">
        <f t="shared" ref="D6:E6" si="0">D5/D2</f>
        <v>0.20988293794675231</v>
      </c>
      <c r="E6" s="3">
        <f t="shared" si="0"/>
        <v>0.19748868987166468</v>
      </c>
      <c r="I6" t="s">
        <v>37</v>
      </c>
    </row>
    <row r="7" spans="1:10">
      <c r="A7" t="s">
        <v>15</v>
      </c>
      <c r="B7" t="s">
        <v>23</v>
      </c>
      <c r="C7">
        <f>Historical_Data!C6</f>
        <v>155</v>
      </c>
      <c r="D7">
        <f>Historical_Data!D6</f>
        <v>158</v>
      </c>
      <c r="E7">
        <f>Historical_Data!E6</f>
        <v>178</v>
      </c>
      <c r="F7" s="1">
        <f>F2*Assumptions!B8</f>
        <v>185.16525965999998</v>
      </c>
      <c r="G7" s="1">
        <f>G2*Assumptions!C8</f>
        <v>195.40489851919796</v>
      </c>
      <c r="H7" s="1">
        <f>H2*Assumptions!D8</f>
        <v>206.21078940730959</v>
      </c>
      <c r="I7" t="s">
        <v>36</v>
      </c>
    </row>
    <row r="8" spans="1:10">
      <c r="A8" t="s">
        <v>15</v>
      </c>
      <c r="B8" t="s">
        <v>24</v>
      </c>
      <c r="C8">
        <f>(C5-C7)</f>
        <v>1655</v>
      </c>
      <c r="D8">
        <f t="shared" ref="D8:E8" si="1">(D5-D7)</f>
        <v>1868</v>
      </c>
      <c r="E8">
        <f t="shared" si="1"/>
        <v>1961</v>
      </c>
      <c r="F8">
        <f>F5-F7</f>
        <v>2073.3937100199996</v>
      </c>
      <c r="G8">
        <f>G5-G7</f>
        <v>2188.0523821841057</v>
      </c>
      <c r="H8">
        <f>H5-H7</f>
        <v>2309.0516789188864</v>
      </c>
      <c r="I8" t="s">
        <v>36</v>
      </c>
    </row>
    <row r="9" spans="1:10">
      <c r="A9" t="s">
        <v>15</v>
      </c>
      <c r="B9" t="s">
        <v>2</v>
      </c>
      <c r="C9" s="2">
        <f>C8/C2</f>
        <v>0.1695002048340844</v>
      </c>
      <c r="D9" s="2">
        <f t="shared" ref="D9:E9" si="2">D8/D2</f>
        <v>0.19351496943955246</v>
      </c>
      <c r="E9" s="2">
        <f t="shared" si="2"/>
        <v>0.18105438094358786</v>
      </c>
      <c r="F9" s="6">
        <f>F8/F2</f>
        <v>0.18139999999999998</v>
      </c>
      <c r="G9" s="6">
        <f>G8/G2</f>
        <v>0.18140000000000001</v>
      </c>
      <c r="H9" s="6">
        <f>H8/H2</f>
        <v>0.18140000000000001</v>
      </c>
      <c r="I9" t="s">
        <v>37</v>
      </c>
    </row>
    <row r="10" spans="1:10">
      <c r="A10" t="s">
        <v>15</v>
      </c>
      <c r="B10" t="s">
        <v>38</v>
      </c>
      <c r="C10">
        <f>Historical_Data!C9</f>
        <v>1743</v>
      </c>
      <c r="D10">
        <f>Historical_Data!D9</f>
        <v>1937</v>
      </c>
      <c r="E10" s="1">
        <f>Historical_Data!E9</f>
        <v>2116</v>
      </c>
    </row>
    <row r="11" spans="1:10">
      <c r="A11" t="s">
        <v>16</v>
      </c>
      <c r="B11" t="s">
        <v>25</v>
      </c>
      <c r="C11">
        <f>Historical_Data!C10</f>
        <v>421</v>
      </c>
      <c r="D11">
        <f>Historical_Data!D10</f>
        <v>435</v>
      </c>
      <c r="E11">
        <f>Historical_Data!E10</f>
        <v>458</v>
      </c>
      <c r="I11" t="s">
        <v>36</v>
      </c>
    </row>
    <row r="12" spans="1:10">
      <c r="A12" t="s">
        <v>16</v>
      </c>
      <c r="B12" t="s">
        <v>3</v>
      </c>
      <c r="C12" s="2">
        <f>C11/C10</f>
        <v>0.24153757888697647</v>
      </c>
      <c r="D12" s="2">
        <f t="shared" ref="D12:E12" si="3">D11/D10</f>
        <v>0.22457408363448633</v>
      </c>
      <c r="E12" s="2">
        <f t="shared" si="3"/>
        <v>0.21644612476370512</v>
      </c>
      <c r="F12" s="3">
        <f>Assumptions!B6</f>
        <v>0.22750000000000001</v>
      </c>
      <c r="G12" s="3">
        <f>Assumptions!C6</f>
        <v>0.22750000000000001</v>
      </c>
      <c r="H12" s="3">
        <f>Assumptions!D6</f>
        <v>0.22750000000000001</v>
      </c>
      <c r="I12" t="s">
        <v>37</v>
      </c>
    </row>
    <row r="13" spans="1:10">
      <c r="A13" t="s">
        <v>15</v>
      </c>
      <c r="B13" t="s">
        <v>26</v>
      </c>
      <c r="C13" s="1">
        <f>C8*(1-C12)</f>
        <v>1255.2553069420539</v>
      </c>
      <c r="D13" s="1">
        <f t="shared" ref="D13:E13" si="4">D8*(1-D12)</f>
        <v>1448.4956117707795</v>
      </c>
      <c r="E13" s="1">
        <f t="shared" si="4"/>
        <v>1536.5491493383743</v>
      </c>
      <c r="F13">
        <f>F8*(1-F12)</f>
        <v>1601.6966409904496</v>
      </c>
      <c r="G13">
        <f>G8*(1-G12)</f>
        <v>1690.2704652372215</v>
      </c>
      <c r="H13">
        <f>H8*(1-H12)</f>
        <v>1783.7424219648397</v>
      </c>
      <c r="I13" t="s">
        <v>36</v>
      </c>
    </row>
    <row r="14" spans="1:10">
      <c r="A14" t="s">
        <v>17</v>
      </c>
      <c r="B14" t="s">
        <v>27</v>
      </c>
      <c r="C14">
        <f>Historical_Data!C12</f>
        <v>182</v>
      </c>
      <c r="D14">
        <f>Historical_Data!D12</f>
        <v>153</v>
      </c>
      <c r="E14">
        <f>Historical_Data!E12</f>
        <v>161</v>
      </c>
      <c r="F14">
        <f>F2*Assumptions!B7</f>
        <v>188.59424594999999</v>
      </c>
      <c r="G14">
        <f>G2*Assumptions!C7</f>
        <v>199.02350775103497</v>
      </c>
      <c r="H14">
        <f>H2*Assumptions!D7</f>
        <v>210.02950772966719</v>
      </c>
      <c r="I14" t="s">
        <v>36</v>
      </c>
    </row>
    <row r="15" spans="1:10">
      <c r="A15" t="s">
        <v>17</v>
      </c>
      <c r="B15" t="s">
        <v>28</v>
      </c>
      <c r="C15">
        <f>Historical_Data!C13</f>
        <v>155</v>
      </c>
      <c r="D15">
        <f>Historical_Data!D13</f>
        <v>158</v>
      </c>
      <c r="E15">
        <f>Historical_Data!E13</f>
        <v>178</v>
      </c>
      <c r="F15">
        <f>F7</f>
        <v>185.16525965999998</v>
      </c>
      <c r="G15">
        <f t="shared" ref="G15:H15" si="5">G7</f>
        <v>195.40489851919796</v>
      </c>
      <c r="H15">
        <f t="shared" si="5"/>
        <v>206.21078940730959</v>
      </c>
      <c r="I15" t="s">
        <v>36</v>
      </c>
    </row>
    <row r="16" spans="1:10">
      <c r="A16" t="s">
        <v>18</v>
      </c>
      <c r="B16" t="s">
        <v>29</v>
      </c>
      <c r="C16">
        <f>Historical_Data!C15</f>
        <v>1015</v>
      </c>
      <c r="D16">
        <f>Historical_Data!D15</f>
        <v>1069</v>
      </c>
      <c r="E16">
        <f>Historical_Data!E15</f>
        <v>1271</v>
      </c>
      <c r="F16">
        <f>F2*Assumptions!B9</f>
        <v>1265.29594101</v>
      </c>
      <c r="G16">
        <f>G2*Assumptions!C9</f>
        <v>1335.2668065478529</v>
      </c>
      <c r="H16">
        <f>H2*Assumptions!D9</f>
        <v>1409.1070609499488</v>
      </c>
      <c r="I16" t="s">
        <v>36</v>
      </c>
    </row>
    <row r="17" spans="1:9">
      <c r="A17" t="s">
        <v>18</v>
      </c>
      <c r="B17" t="s">
        <v>30</v>
      </c>
      <c r="C17">
        <f>Historical_Data!C16</f>
        <v>1225</v>
      </c>
      <c r="D17">
        <f>Historical_Data!D16</f>
        <v>1336</v>
      </c>
      <c r="E17">
        <f>Historical_Data!E16</f>
        <v>1235</v>
      </c>
      <c r="F17">
        <f>F2*Assumptions!B10</f>
        <v>1440.1742417999999</v>
      </c>
      <c r="G17">
        <f>G2*Assumptions!C10</f>
        <v>1519.8158773715397</v>
      </c>
      <c r="H17">
        <f>H2*Assumptions!D10</f>
        <v>1603.8616953901858</v>
      </c>
      <c r="I17" t="s">
        <v>36</v>
      </c>
    </row>
    <row r="18" spans="1:9">
      <c r="A18" t="s">
        <v>18</v>
      </c>
      <c r="B18" t="s">
        <v>31</v>
      </c>
      <c r="C18">
        <f>Historical_Data!C17</f>
        <v>229</v>
      </c>
      <c r="D18">
        <f>Historical_Data!D17</f>
        <v>378</v>
      </c>
      <c r="E18">
        <f>Historical_Data!E17</f>
        <v>413</v>
      </c>
      <c r="F18">
        <f>F2*Assumptions!B11</f>
        <v>384.04646447999994</v>
      </c>
      <c r="G18">
        <f>G2*Assumptions!C11</f>
        <v>405.28423396574391</v>
      </c>
      <c r="H18">
        <f>H2*Assumptions!D11</f>
        <v>427.69645210404951</v>
      </c>
      <c r="I18" t="s">
        <v>36</v>
      </c>
    </row>
    <row r="19" spans="1:9">
      <c r="A19" t="s">
        <v>18</v>
      </c>
      <c r="B19" t="s">
        <v>32</v>
      </c>
      <c r="C19">
        <f>Historical_Data!C18</f>
        <v>1452</v>
      </c>
      <c r="D19" s="4">
        <f>Historical_Data!D18</f>
        <v>1581</v>
      </c>
      <c r="E19" s="4">
        <f>Historical_Data!E18</f>
        <v>1363</v>
      </c>
      <c r="F19">
        <f>F2*Assumptions!B12</f>
        <v>1669.91632323</v>
      </c>
      <c r="G19">
        <f>G2*Assumptions!C12</f>
        <v>1762.2626959046188</v>
      </c>
      <c r="H19">
        <f>H2*Assumptions!D12</f>
        <v>1859.7158229881441</v>
      </c>
      <c r="I19" t="s">
        <v>36</v>
      </c>
    </row>
    <row r="20" spans="1:9">
      <c r="A20" t="s">
        <v>18</v>
      </c>
      <c r="B20" t="s">
        <v>33</v>
      </c>
      <c r="C20">
        <f>Historical_Data!C19</f>
        <v>217</v>
      </c>
      <c r="D20">
        <f>Historical_Data!D19</f>
        <v>211</v>
      </c>
      <c r="E20">
        <f>Historical_Data!E19</f>
        <v>232</v>
      </c>
      <c r="F20">
        <f>F2*Assumptions!B13</f>
        <v>249.17300373999998</v>
      </c>
      <c r="G20">
        <f>G2*Assumptions!C13</f>
        <v>262.95227084682193</v>
      </c>
      <c r="H20">
        <f>H2*Assumptions!D13</f>
        <v>277.49353142465117</v>
      </c>
      <c r="I20" t="s">
        <v>36</v>
      </c>
    </row>
    <row r="21" spans="1:9">
      <c r="A21" t="s">
        <v>18</v>
      </c>
      <c r="B21" t="s">
        <v>34</v>
      </c>
      <c r="C21" s="1">
        <f>C16+C17+C18-C19-C20</f>
        <v>800</v>
      </c>
      <c r="D21" s="1">
        <f t="shared" ref="D21:E21" si="6">D16+D17+D18-D19-D20</f>
        <v>991</v>
      </c>
      <c r="E21" s="1">
        <f t="shared" si="6"/>
        <v>1324</v>
      </c>
      <c r="F21">
        <f>F16+F17+F18-F19-F20</f>
        <v>1170.4273203199996</v>
      </c>
      <c r="G21">
        <f>G16+G17+G18-G19-G20</f>
        <v>1235.1519511336958</v>
      </c>
      <c r="H21">
        <f>H16+H17+H18-H19-H20</f>
        <v>1303.4558540313892</v>
      </c>
      <c r="I21" t="s">
        <v>36</v>
      </c>
    </row>
    <row r="22" spans="1:9">
      <c r="A22" t="s">
        <v>18</v>
      </c>
      <c r="B22" t="s">
        <v>35</v>
      </c>
      <c r="D22" s="1">
        <f>D21-C21</f>
        <v>191</v>
      </c>
      <c r="E22" s="1">
        <f>E21-D21</f>
        <v>333</v>
      </c>
      <c r="F22">
        <f>F21-E21</f>
        <v>-153.57267968000042</v>
      </c>
      <c r="G22">
        <f>G21-F21</f>
        <v>64.724630813696194</v>
      </c>
      <c r="H22">
        <f>H21-G21</f>
        <v>68.303902897693433</v>
      </c>
      <c r="I2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5407-5458-4FBD-B27D-40FC18A50A17}">
  <dimension ref="A1:D8"/>
  <sheetViews>
    <sheetView workbookViewId="0">
      <selection activeCell="D9" sqref="D9"/>
    </sheetView>
  </sheetViews>
  <sheetFormatPr defaultRowHeight="14.5"/>
  <cols>
    <col min="1" max="1" width="17.26953125" bestFit="1" customWidth="1"/>
  </cols>
  <sheetData>
    <row r="1" spans="1:4">
      <c r="A1" t="s">
        <v>49</v>
      </c>
    </row>
    <row r="3" spans="1:4">
      <c r="A3" t="s">
        <v>8</v>
      </c>
      <c r="B3" t="s">
        <v>4</v>
      </c>
      <c r="C3" t="s">
        <v>5</v>
      </c>
      <c r="D3" t="s">
        <v>6</v>
      </c>
    </row>
    <row r="4" spans="1:4">
      <c r="A4" t="s">
        <v>26</v>
      </c>
      <c r="B4" s="8">
        <f>Forecast!F13</f>
        <v>1601.6966409904496</v>
      </c>
      <c r="C4" s="9">
        <f>Forecast!G13</f>
        <v>1690.2704652372215</v>
      </c>
      <c r="D4" s="9">
        <f>Forecast!H13</f>
        <v>1783.7424219648397</v>
      </c>
    </row>
    <row r="5" spans="1:4">
      <c r="A5" t="s">
        <v>28</v>
      </c>
      <c r="B5" s="8">
        <f>Forecast!F15</f>
        <v>185.16525965999998</v>
      </c>
      <c r="C5" s="9">
        <f>Forecast!G15</f>
        <v>195.40489851919796</v>
      </c>
      <c r="D5" s="9">
        <f>Forecast!H15</f>
        <v>206.21078940730959</v>
      </c>
    </row>
    <row r="6" spans="1:4">
      <c r="A6" t="s">
        <v>27</v>
      </c>
      <c r="B6" s="9">
        <f>Forecast!F14</f>
        <v>188.59424594999999</v>
      </c>
      <c r="C6" s="9">
        <f>Forecast!G14</f>
        <v>199.02350775103497</v>
      </c>
      <c r="D6" s="9">
        <f>Forecast!H14</f>
        <v>210.02950772966719</v>
      </c>
    </row>
    <row r="7" spans="1:4">
      <c r="A7" t="s">
        <v>35</v>
      </c>
      <c r="B7" s="9">
        <f>Forecast!F22</f>
        <v>-153.57267968000042</v>
      </c>
      <c r="C7" s="9">
        <f>Forecast!G22</f>
        <v>64.724630813696194</v>
      </c>
      <c r="D7" s="9">
        <f>Forecast!H22</f>
        <v>68.303902897693433</v>
      </c>
    </row>
    <row r="8" spans="1:4">
      <c r="A8" t="s">
        <v>50</v>
      </c>
      <c r="B8" s="1">
        <f>B4+B5-B6-B7</f>
        <v>1751.84033438045</v>
      </c>
      <c r="C8" s="1">
        <f t="shared" ref="C8" si="0">C4+C5-C6-C7</f>
        <v>1621.9272251916884</v>
      </c>
      <c r="D8" s="9">
        <f>D4+D5-D6-D7</f>
        <v>1711.6198007447888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8A53-C337-4FE0-9868-EEC9B64A85E0}">
  <dimension ref="A1:M35"/>
  <sheetViews>
    <sheetView topLeftCell="A10" zoomScale="81" zoomScaleNormal="47" workbookViewId="0">
      <selection activeCell="B35" sqref="B35"/>
    </sheetView>
  </sheetViews>
  <sheetFormatPr defaultRowHeight="14.5"/>
  <cols>
    <col min="1" max="1" width="27.6328125" bestFit="1" customWidth="1"/>
    <col min="2" max="2" width="11.453125" bestFit="1" customWidth="1"/>
    <col min="3" max="4" width="9.36328125" bestFit="1" customWidth="1"/>
    <col min="6" max="6" width="14" bestFit="1" customWidth="1"/>
    <col min="7" max="7" width="13.81640625" bestFit="1" customWidth="1"/>
    <col min="8" max="12" width="12.6328125" bestFit="1" customWidth="1"/>
  </cols>
  <sheetData>
    <row r="1" spans="1:13">
      <c r="A1" t="s">
        <v>51</v>
      </c>
    </row>
    <row r="3" spans="1:13">
      <c r="A3" t="s">
        <v>52</v>
      </c>
      <c r="B3" t="s">
        <v>53</v>
      </c>
    </row>
    <row r="4" spans="1:13">
      <c r="A4" t="s">
        <v>54</v>
      </c>
      <c r="B4" s="2">
        <v>6.5820000000000004E-2</v>
      </c>
    </row>
    <row r="5" spans="1:13">
      <c r="A5" t="s">
        <v>55</v>
      </c>
      <c r="B5" s="14">
        <v>0.44191026400190431</v>
      </c>
    </row>
    <row r="6" spans="1:13">
      <c r="A6" t="s">
        <v>56</v>
      </c>
      <c r="B6" s="2">
        <v>0.09</v>
      </c>
    </row>
    <row r="7" spans="1:13">
      <c r="A7" t="s">
        <v>57</v>
      </c>
      <c r="B7" s="2">
        <f>B4+B5*B6</f>
        <v>0.10559192376017139</v>
      </c>
    </row>
    <row r="8" spans="1:13">
      <c r="A8" t="s">
        <v>58</v>
      </c>
      <c r="B8" s="2">
        <v>5.7000000000000002E-2</v>
      </c>
    </row>
    <row r="9" spans="1:13">
      <c r="A9" t="s">
        <v>3</v>
      </c>
      <c r="B9" s="2">
        <f>Assumptions!B6</f>
        <v>0.22750000000000001</v>
      </c>
    </row>
    <row r="10" spans="1:13">
      <c r="A10" t="s">
        <v>59</v>
      </c>
      <c r="B10" s="2">
        <f>B8*(1-B9)</f>
        <v>4.4032500000000002E-2</v>
      </c>
      <c r="G10" s="15" t="s">
        <v>79</v>
      </c>
      <c r="H10" s="15"/>
      <c r="I10" s="15"/>
      <c r="J10" s="15"/>
      <c r="K10" s="15"/>
      <c r="L10" s="15"/>
    </row>
    <row r="11" spans="1:13">
      <c r="A11" t="s">
        <v>142</v>
      </c>
      <c r="B11" s="1">
        <v>84421.127170000007</v>
      </c>
    </row>
    <row r="12" spans="1:13">
      <c r="A12" t="s">
        <v>60</v>
      </c>
      <c r="B12" s="1">
        <f>Historical_Data!E23</f>
        <v>379</v>
      </c>
      <c r="G12" s="8">
        <f>$B$35</f>
        <v>24361.58426969943</v>
      </c>
      <c r="H12" s="3">
        <v>0.03</v>
      </c>
      <c r="I12" s="3">
        <v>3.5000000000000003E-2</v>
      </c>
      <c r="J12" s="3">
        <v>0.04</v>
      </c>
      <c r="K12" s="3">
        <v>4.4999999999999998E-2</v>
      </c>
      <c r="L12" s="3">
        <v>0.05</v>
      </c>
      <c r="M12" s="10"/>
    </row>
    <row r="13" spans="1:13">
      <c r="A13" t="s">
        <v>61</v>
      </c>
      <c r="B13" s="1">
        <f>B11+B12</f>
        <v>84800.127170000007</v>
      </c>
      <c r="G13" s="3">
        <v>7.0000000000000007E-2</v>
      </c>
      <c r="H13" s="7">
        <f t="dataTable" ref="H13:L17" dt2D="1" dtr="1" r1="B19" r2="B17"/>
        <v>40428.763561532425</v>
      </c>
      <c r="I13" s="7">
        <v>45768.031497424483</v>
      </c>
      <c r="J13" s="7">
        <v>52887.055411947229</v>
      </c>
      <c r="K13" s="7">
        <v>62853.688892279053</v>
      </c>
      <c r="L13" s="7">
        <v>77803.639112776815</v>
      </c>
      <c r="M13" s="7"/>
    </row>
    <row r="14" spans="1:13">
      <c r="A14" t="s">
        <v>62</v>
      </c>
      <c r="B14" s="2">
        <f>B11/B13</f>
        <v>0.99553066707977678</v>
      </c>
      <c r="G14" s="3">
        <v>7.4999999999999997E-2</v>
      </c>
      <c r="H14" s="7">
        <v>35946.912845219769</v>
      </c>
      <c r="I14" s="7">
        <v>40061.136271083094</v>
      </c>
      <c r="J14" s="7">
        <v>45350.852104335943</v>
      </c>
      <c r="K14" s="7">
        <v>52403.806548673063</v>
      </c>
      <c r="L14" s="7">
        <v>62277.942770745052</v>
      </c>
      <c r="M14" s="7"/>
    </row>
    <row r="15" spans="1:13">
      <c r="A15" t="s">
        <v>63</v>
      </c>
      <c r="B15" s="3">
        <f>B12/B13</f>
        <v>4.4693329202232608E-3</v>
      </c>
      <c r="G15" s="3">
        <v>0.08</v>
      </c>
      <c r="H15" s="7">
        <v>32361.377573060992</v>
      </c>
      <c r="I15" s="7">
        <v>35622.35113034035</v>
      </c>
      <c r="J15" s="7">
        <v>39698.568076939548</v>
      </c>
      <c r="K15" s="7">
        <v>44939.418436852793</v>
      </c>
      <c r="L15" s="7">
        <v>51927.218916737133</v>
      </c>
      <c r="M15" s="7"/>
    </row>
    <row r="16" spans="1:13">
      <c r="A16" t="s">
        <v>64</v>
      </c>
      <c r="B16" s="3">
        <f>IF(B17="",B14*B7+B15*B10,B17)</f>
        <v>0.10531679420101009</v>
      </c>
      <c r="G16" s="3">
        <v>8.5000000000000006E-2</v>
      </c>
      <c r="H16" s="7">
        <v>29427.708383304875</v>
      </c>
      <c r="I16" s="7">
        <v>32071.243817358831</v>
      </c>
      <c r="J16" s="7">
        <v>35302.231570091433</v>
      </c>
      <c r="K16" s="7">
        <v>39340.966261007183</v>
      </c>
      <c r="L16" s="7">
        <v>44533.625149327447</v>
      </c>
      <c r="M16" s="7"/>
    </row>
    <row r="17" spans="1:13">
      <c r="A17" t="s">
        <v>143</v>
      </c>
      <c r="B17" s="3"/>
      <c r="G17" s="3">
        <v>0.09</v>
      </c>
      <c r="H17" s="7">
        <v>26982.93903606278</v>
      </c>
      <c r="I17" s="7">
        <v>29165.721069950334</v>
      </c>
      <c r="J17" s="7">
        <v>31785.0595106154</v>
      </c>
      <c r="K17" s="7">
        <v>34986.473160317139</v>
      </c>
      <c r="L17" s="7">
        <v>38988.240222444314</v>
      </c>
      <c r="M17" s="7"/>
    </row>
    <row r="18" spans="1:13">
      <c r="A18" t="s">
        <v>66</v>
      </c>
      <c r="G18" s="10"/>
    </row>
    <row r="19" spans="1:13">
      <c r="A19" t="s">
        <v>67</v>
      </c>
      <c r="B19" s="10">
        <v>0.04</v>
      </c>
    </row>
    <row r="20" spans="1:13">
      <c r="A20" t="s">
        <v>68</v>
      </c>
      <c r="B20" s="9">
        <f>FCFF!D8</f>
        <v>1711.6198007447888</v>
      </c>
    </row>
    <row r="21" spans="1:13">
      <c r="A21" t="s">
        <v>69</v>
      </c>
      <c r="B21" s="9">
        <f>B20*(1+B19)</f>
        <v>1780.0845927745804</v>
      </c>
    </row>
    <row r="22" spans="1:13">
      <c r="A22" t="s">
        <v>66</v>
      </c>
      <c r="B22">
        <f>IF(B16&lt;=B19,NA(),B21/(B16-B19))</f>
        <v>27253.091866334318</v>
      </c>
    </row>
    <row r="23" spans="1:13">
      <c r="A23" t="s">
        <v>70</v>
      </c>
      <c r="B23">
        <f>1/(1+$B$16)^3</f>
        <v>0.74052494703274641</v>
      </c>
    </row>
    <row r="24" spans="1:13">
      <c r="A24" t="s">
        <v>71</v>
      </c>
      <c r="B24">
        <f>B22*B23</f>
        <v>20181.594410795791</v>
      </c>
    </row>
    <row r="26" spans="1:13">
      <c r="A26" t="s">
        <v>72</v>
      </c>
    </row>
    <row r="27" spans="1:13">
      <c r="A27" t="s">
        <v>8</v>
      </c>
      <c r="B27" t="s">
        <v>4</v>
      </c>
      <c r="C27" t="s">
        <v>5</v>
      </c>
      <c r="D27" t="s">
        <v>6</v>
      </c>
    </row>
    <row r="28" spans="1:13">
      <c r="A28" t="s">
        <v>50</v>
      </c>
      <c r="B28" s="8">
        <f>FCFF!B8</f>
        <v>1751.84033438045</v>
      </c>
      <c r="C28" s="8">
        <f>FCFF!C8</f>
        <v>1621.9272251916884</v>
      </c>
      <c r="D28" s="8">
        <f>FCFF!D8</f>
        <v>1711.6198007447888</v>
      </c>
    </row>
    <row r="29" spans="1:13">
      <c r="A29" t="s">
        <v>73</v>
      </c>
      <c r="B29" s="8">
        <f>1</f>
        <v>1</v>
      </c>
      <c r="C29" s="8">
        <f>2</f>
        <v>2</v>
      </c>
      <c r="D29" s="8">
        <f>3</f>
        <v>3</v>
      </c>
    </row>
    <row r="30" spans="1:13">
      <c r="A30" t="s">
        <v>74</v>
      </c>
      <c r="B30">
        <f>1/(1+$B$16)^B29</f>
        <v>0.90471800052840112</v>
      </c>
      <c r="C30" s="1">
        <f>1/(1+$B$16)^C29</f>
        <v>0.8185146604801079</v>
      </c>
      <c r="D30">
        <f>1/(1+$B$16)^3</f>
        <v>0.74052494703274641</v>
      </c>
    </row>
    <row r="31" spans="1:13">
      <c r="A31" t="s">
        <v>75</v>
      </c>
      <c r="B31" s="8">
        <f>B28*B30</f>
        <v>1584.9214845656863</v>
      </c>
      <c r="C31" s="1">
        <f>C28*C30</f>
        <v>1327.5712120512183</v>
      </c>
      <c r="D31" s="1">
        <f>D28*D30</f>
        <v>1267.4971622867347</v>
      </c>
    </row>
    <row r="32" spans="1:13">
      <c r="B32" s="8"/>
      <c r="C32" s="8"/>
      <c r="D32" s="8"/>
    </row>
    <row r="33" spans="1:4">
      <c r="A33" t="s">
        <v>76</v>
      </c>
      <c r="B33" s="9">
        <f>SUM(B31:D31)</f>
        <v>4179.9898589036393</v>
      </c>
      <c r="C33" s="8"/>
      <c r="D33" s="8"/>
    </row>
    <row r="34" spans="1:4">
      <c r="A34" t="s">
        <v>77</v>
      </c>
      <c r="B34" s="9">
        <f>B24</f>
        <v>20181.594410795791</v>
      </c>
      <c r="C34" s="8"/>
      <c r="D34" s="8"/>
    </row>
    <row r="35" spans="1:4">
      <c r="A35" t="s">
        <v>78</v>
      </c>
      <c r="B35" s="8">
        <f>B33 + B34</f>
        <v>24361.58426969943</v>
      </c>
      <c r="C35" s="8"/>
      <c r="D35" s="8"/>
    </row>
  </sheetData>
  <mergeCells count="1">
    <mergeCell ref="G10:L10"/>
  </mergeCells>
  <conditionalFormatting sqref="H14:L17 J13:L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3B0F-94A8-40D6-910B-C94EA8E79330}">
  <dimension ref="A1:M25"/>
  <sheetViews>
    <sheetView workbookViewId="0"/>
  </sheetViews>
  <sheetFormatPr defaultRowHeight="14.5"/>
  <cols>
    <col min="1" max="1" width="14.08984375" bestFit="1" customWidth="1"/>
    <col min="2" max="2" width="44.6328125" bestFit="1" customWidth="1"/>
    <col min="7" max="7" width="10.81640625" bestFit="1" customWidth="1"/>
    <col min="8" max="8" width="9.08984375" bestFit="1" customWidth="1"/>
    <col min="9" max="9" width="10.81640625" bestFit="1" customWidth="1"/>
    <col min="10" max="10" width="9.08984375" bestFit="1" customWidth="1"/>
    <col min="11" max="11" width="10.81640625" bestFit="1" customWidth="1"/>
    <col min="12" max="12" width="9.08984375" bestFit="1" customWidth="1"/>
  </cols>
  <sheetData>
    <row r="1" spans="1:13">
      <c r="A1" t="s">
        <v>7</v>
      </c>
      <c r="B1" t="s">
        <v>8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</row>
    <row r="2" spans="1:13">
      <c r="A2" t="s">
        <v>14</v>
      </c>
      <c r="B2" t="s">
        <v>19</v>
      </c>
      <c r="C2">
        <v>9764</v>
      </c>
      <c r="D2">
        <v>9653</v>
      </c>
      <c r="E2">
        <v>10831</v>
      </c>
      <c r="F2" t="s">
        <v>36</v>
      </c>
      <c r="G2" t="s">
        <v>93</v>
      </c>
      <c r="H2" t="s">
        <v>94</v>
      </c>
      <c r="I2" t="s">
        <v>93</v>
      </c>
      <c r="J2" t="s">
        <v>94</v>
      </c>
      <c r="K2" t="s">
        <v>95</v>
      </c>
      <c r="L2" t="s">
        <v>96</v>
      </c>
      <c r="M2" t="s">
        <v>97</v>
      </c>
    </row>
    <row r="3" spans="1:13">
      <c r="A3" t="s">
        <v>14</v>
      </c>
      <c r="B3" t="s">
        <v>20</v>
      </c>
      <c r="C3">
        <v>144</v>
      </c>
      <c r="D3">
        <v>142</v>
      </c>
      <c r="E3">
        <v>208</v>
      </c>
      <c r="F3" t="s">
        <v>36</v>
      </c>
      <c r="G3" t="s">
        <v>93</v>
      </c>
      <c r="H3" t="s">
        <v>94</v>
      </c>
      <c r="I3" t="s">
        <v>93</v>
      </c>
      <c r="J3" t="s">
        <v>94</v>
      </c>
      <c r="K3" t="s">
        <v>95</v>
      </c>
      <c r="L3" t="s">
        <v>96</v>
      </c>
      <c r="M3" t="s">
        <v>98</v>
      </c>
    </row>
    <row r="4" spans="1:13">
      <c r="A4" t="s">
        <v>15</v>
      </c>
      <c r="B4" t="s">
        <v>21</v>
      </c>
      <c r="C4">
        <v>1810</v>
      </c>
      <c r="D4">
        <v>2026</v>
      </c>
      <c r="E4">
        <v>2139</v>
      </c>
      <c r="F4" t="s">
        <v>36</v>
      </c>
      <c r="G4" t="s">
        <v>93</v>
      </c>
      <c r="H4" t="s">
        <v>99</v>
      </c>
      <c r="I4" t="s">
        <v>93</v>
      </c>
      <c r="J4" t="s">
        <v>100</v>
      </c>
      <c r="K4" t="s">
        <v>95</v>
      </c>
      <c r="L4" t="s">
        <v>101</v>
      </c>
    </row>
    <row r="5" spans="1:13">
      <c r="A5" t="s">
        <v>15</v>
      </c>
      <c r="B5" t="s">
        <v>22</v>
      </c>
      <c r="C5" s="3">
        <f>(C4/C2)</f>
        <v>0.18537484637443671</v>
      </c>
      <c r="D5" s="3">
        <f t="shared" ref="D5:E5" si="0">(D4/D2)</f>
        <v>0.20988293794675231</v>
      </c>
      <c r="E5" s="3">
        <f t="shared" si="0"/>
        <v>0.19748868987166468</v>
      </c>
      <c r="F5" t="s">
        <v>37</v>
      </c>
      <c r="G5" t="s">
        <v>102</v>
      </c>
      <c r="I5" t="s">
        <v>102</v>
      </c>
      <c r="K5" t="s">
        <v>102</v>
      </c>
      <c r="M5" t="s">
        <v>103</v>
      </c>
    </row>
    <row r="6" spans="1:13">
      <c r="A6" t="s">
        <v>15</v>
      </c>
      <c r="B6" t="s">
        <v>23</v>
      </c>
      <c r="C6">
        <v>155</v>
      </c>
      <c r="D6">
        <v>158</v>
      </c>
      <c r="E6">
        <v>178</v>
      </c>
      <c r="F6" t="s">
        <v>36</v>
      </c>
      <c r="G6" t="s">
        <v>93</v>
      </c>
      <c r="H6" t="s">
        <v>100</v>
      </c>
      <c r="I6" t="s">
        <v>93</v>
      </c>
      <c r="J6" t="s">
        <v>100</v>
      </c>
      <c r="K6" t="s">
        <v>95</v>
      </c>
      <c r="L6" t="s">
        <v>101</v>
      </c>
      <c r="M6" t="s">
        <v>104</v>
      </c>
    </row>
    <row r="7" spans="1:13">
      <c r="A7" t="s">
        <v>15</v>
      </c>
      <c r="B7" t="s">
        <v>24</v>
      </c>
      <c r="C7">
        <f>(C4-C6)</f>
        <v>1655</v>
      </c>
      <c r="D7">
        <f t="shared" ref="D7:E7" si="1">(D4-D6)</f>
        <v>1868</v>
      </c>
      <c r="E7">
        <f t="shared" si="1"/>
        <v>1961</v>
      </c>
      <c r="F7" t="s">
        <v>36</v>
      </c>
      <c r="G7" t="s">
        <v>102</v>
      </c>
      <c r="I7" t="s">
        <v>102</v>
      </c>
      <c r="K7" t="s">
        <v>102</v>
      </c>
      <c r="M7" t="s">
        <v>105</v>
      </c>
    </row>
    <row r="8" spans="1:13">
      <c r="A8" t="s">
        <v>15</v>
      </c>
      <c r="B8" t="s">
        <v>106</v>
      </c>
      <c r="C8">
        <v>56</v>
      </c>
      <c r="D8">
        <v>73</v>
      </c>
      <c r="E8">
        <v>53</v>
      </c>
      <c r="F8" t="s">
        <v>36</v>
      </c>
      <c r="G8" t="s">
        <v>93</v>
      </c>
      <c r="H8" t="s">
        <v>100</v>
      </c>
      <c r="I8" t="s">
        <v>93</v>
      </c>
      <c r="J8" t="s">
        <v>100</v>
      </c>
      <c r="K8" t="s">
        <v>95</v>
      </c>
      <c r="L8" t="s">
        <v>101</v>
      </c>
    </row>
    <row r="9" spans="1:13">
      <c r="A9" t="s">
        <v>15</v>
      </c>
      <c r="B9" t="s">
        <v>107</v>
      </c>
      <c r="C9">
        <v>1743</v>
      </c>
      <c r="D9">
        <v>1937</v>
      </c>
      <c r="E9">
        <v>2116</v>
      </c>
      <c r="F9" t="s">
        <v>36</v>
      </c>
      <c r="G9" t="s">
        <v>93</v>
      </c>
      <c r="H9" t="s">
        <v>100</v>
      </c>
      <c r="I9" t="s">
        <v>93</v>
      </c>
      <c r="J9" t="s">
        <v>100</v>
      </c>
      <c r="K9" t="s">
        <v>95</v>
      </c>
      <c r="L9" t="s">
        <v>101</v>
      </c>
    </row>
    <row r="10" spans="1:13">
      <c r="A10" t="s">
        <v>16</v>
      </c>
      <c r="B10" t="s">
        <v>25</v>
      </c>
      <c r="C10">
        <v>421</v>
      </c>
      <c r="D10">
        <v>435</v>
      </c>
      <c r="E10">
        <v>458</v>
      </c>
      <c r="F10" t="s">
        <v>36</v>
      </c>
      <c r="G10" t="s">
        <v>93</v>
      </c>
      <c r="H10" t="s">
        <v>100</v>
      </c>
      <c r="I10" t="s">
        <v>93</v>
      </c>
      <c r="J10" t="s">
        <v>100</v>
      </c>
      <c r="K10" t="s">
        <v>95</v>
      </c>
      <c r="L10" t="s">
        <v>101</v>
      </c>
    </row>
    <row r="11" spans="1:13">
      <c r="A11" t="s">
        <v>15</v>
      </c>
      <c r="B11" t="s">
        <v>108</v>
      </c>
      <c r="C11">
        <v>1322</v>
      </c>
      <c r="D11">
        <v>1502</v>
      </c>
      <c r="E11">
        <v>1658</v>
      </c>
      <c r="F11" t="s">
        <v>36</v>
      </c>
      <c r="G11" t="s">
        <v>93</v>
      </c>
      <c r="H11" t="s">
        <v>100</v>
      </c>
      <c r="I11" t="s">
        <v>93</v>
      </c>
      <c r="J11" t="s">
        <v>100</v>
      </c>
      <c r="K11" t="s">
        <v>95</v>
      </c>
      <c r="L11" t="s">
        <v>101</v>
      </c>
    </row>
    <row r="12" spans="1:13">
      <c r="A12" t="s">
        <v>17</v>
      </c>
      <c r="B12" t="s">
        <v>27</v>
      </c>
      <c r="C12">
        <v>182</v>
      </c>
      <c r="D12">
        <v>153</v>
      </c>
      <c r="E12">
        <v>161</v>
      </c>
      <c r="F12" t="s">
        <v>36</v>
      </c>
      <c r="G12" t="s">
        <v>93</v>
      </c>
      <c r="H12" t="s">
        <v>109</v>
      </c>
      <c r="I12" t="s">
        <v>93</v>
      </c>
      <c r="J12" t="s">
        <v>109</v>
      </c>
      <c r="K12" t="s">
        <v>95</v>
      </c>
      <c r="L12" t="s">
        <v>110</v>
      </c>
      <c r="M12" t="s">
        <v>111</v>
      </c>
    </row>
    <row r="13" spans="1:13">
      <c r="A13" t="s">
        <v>17</v>
      </c>
      <c r="B13" t="s">
        <v>112</v>
      </c>
      <c r="C13">
        <v>155</v>
      </c>
      <c r="D13">
        <v>158</v>
      </c>
      <c r="E13">
        <v>178</v>
      </c>
    </row>
    <row r="14" spans="1:13">
      <c r="A14" t="s">
        <v>17</v>
      </c>
      <c r="B14" t="s">
        <v>113</v>
      </c>
      <c r="C14">
        <v>1419</v>
      </c>
      <c r="D14">
        <v>1436</v>
      </c>
      <c r="E14">
        <v>1363</v>
      </c>
      <c r="F14" t="s">
        <v>36</v>
      </c>
      <c r="G14" t="s">
        <v>93</v>
      </c>
      <c r="H14" t="s">
        <v>114</v>
      </c>
      <c r="I14" t="s">
        <v>93</v>
      </c>
      <c r="J14" t="s">
        <v>114</v>
      </c>
      <c r="K14" t="s">
        <v>95</v>
      </c>
      <c r="L14" t="s">
        <v>115</v>
      </c>
      <c r="M14" t="s">
        <v>116</v>
      </c>
    </row>
    <row r="15" spans="1:13">
      <c r="A15" t="s">
        <v>18</v>
      </c>
      <c r="B15" t="s">
        <v>29</v>
      </c>
      <c r="C15">
        <v>1015</v>
      </c>
      <c r="D15">
        <v>1069</v>
      </c>
      <c r="E15">
        <v>1271</v>
      </c>
      <c r="F15" t="s">
        <v>36</v>
      </c>
      <c r="G15" t="s">
        <v>93</v>
      </c>
      <c r="H15" t="s">
        <v>117</v>
      </c>
      <c r="I15" t="s">
        <v>93</v>
      </c>
      <c r="J15" t="s">
        <v>117</v>
      </c>
      <c r="K15" t="s">
        <v>95</v>
      </c>
      <c r="L15" t="s">
        <v>118</v>
      </c>
      <c r="M15" s="11" t="s">
        <v>119</v>
      </c>
    </row>
    <row r="16" spans="1:13">
      <c r="A16" t="s">
        <v>18</v>
      </c>
      <c r="B16" t="s">
        <v>30</v>
      </c>
      <c r="C16">
        <v>1225</v>
      </c>
      <c r="D16">
        <v>1336</v>
      </c>
      <c r="E16">
        <v>1235</v>
      </c>
      <c r="F16" t="s">
        <v>36</v>
      </c>
      <c r="G16" t="s">
        <v>93</v>
      </c>
      <c r="H16" t="s">
        <v>117</v>
      </c>
      <c r="I16" t="s">
        <v>93</v>
      </c>
      <c r="J16" t="s">
        <v>117</v>
      </c>
      <c r="K16" t="s">
        <v>95</v>
      </c>
      <c r="L16" t="s">
        <v>118</v>
      </c>
      <c r="M16" t="s">
        <v>120</v>
      </c>
    </row>
    <row r="17" spans="1:13">
      <c r="A17" t="s">
        <v>18</v>
      </c>
      <c r="B17" t="s">
        <v>31</v>
      </c>
      <c r="C17">
        <v>229</v>
      </c>
      <c r="D17">
        <v>378</v>
      </c>
      <c r="E17">
        <v>413</v>
      </c>
      <c r="F17" t="s">
        <v>36</v>
      </c>
      <c r="G17" t="s">
        <v>93</v>
      </c>
      <c r="H17" t="s">
        <v>121</v>
      </c>
      <c r="I17" t="s">
        <v>93</v>
      </c>
      <c r="J17" t="s">
        <v>121</v>
      </c>
      <c r="K17" t="s">
        <v>95</v>
      </c>
      <c r="L17" t="s">
        <v>122</v>
      </c>
      <c r="M17" t="s">
        <v>141</v>
      </c>
    </row>
    <row r="18" spans="1:13">
      <c r="A18" t="s">
        <v>18</v>
      </c>
      <c r="B18" t="s">
        <v>32</v>
      </c>
      <c r="C18">
        <v>1452</v>
      </c>
      <c r="D18">
        <v>1581</v>
      </c>
      <c r="E18">
        <v>1363</v>
      </c>
      <c r="F18" t="s">
        <v>36</v>
      </c>
      <c r="G18" t="s">
        <v>93</v>
      </c>
      <c r="H18" t="s">
        <v>96</v>
      </c>
      <c r="I18" t="s">
        <v>93</v>
      </c>
      <c r="J18" t="s">
        <v>96</v>
      </c>
      <c r="K18" t="s">
        <v>95</v>
      </c>
      <c r="L18" t="s">
        <v>121</v>
      </c>
      <c r="M18" t="s">
        <v>123</v>
      </c>
    </row>
    <row r="19" spans="1:13">
      <c r="A19" t="s">
        <v>18</v>
      </c>
      <c r="B19" t="s">
        <v>33</v>
      </c>
      <c r="C19">
        <v>217</v>
      </c>
      <c r="D19">
        <v>211</v>
      </c>
      <c r="E19">
        <v>232</v>
      </c>
      <c r="F19" t="s">
        <v>36</v>
      </c>
      <c r="G19" t="s">
        <v>93</v>
      </c>
      <c r="H19" t="s">
        <v>94</v>
      </c>
      <c r="I19" t="s">
        <v>93</v>
      </c>
      <c r="J19" t="s">
        <v>94</v>
      </c>
      <c r="K19" t="s">
        <v>95</v>
      </c>
      <c r="L19" t="s">
        <v>96</v>
      </c>
      <c r="M19" t="s">
        <v>124</v>
      </c>
    </row>
    <row r="20" spans="1:13">
      <c r="A20" t="s">
        <v>18</v>
      </c>
      <c r="B20" t="s">
        <v>34</v>
      </c>
      <c r="C20">
        <f>SUM(C15:C17)-C18-C19</f>
        <v>800</v>
      </c>
      <c r="D20" s="1">
        <f>D15+D16+D17-D18-D19</f>
        <v>991</v>
      </c>
      <c r="E20" s="1">
        <f>E15+E16+E17-E18-E19</f>
        <v>1324</v>
      </c>
      <c r="F20" t="s">
        <v>36</v>
      </c>
      <c r="G20" t="s">
        <v>102</v>
      </c>
      <c r="I20" t="s">
        <v>102</v>
      </c>
      <c r="K20" t="s">
        <v>102</v>
      </c>
      <c r="M20" s="12" t="s">
        <v>125</v>
      </c>
    </row>
    <row r="21" spans="1:13">
      <c r="A21" t="s">
        <v>126</v>
      </c>
      <c r="B21" t="s">
        <v>127</v>
      </c>
      <c r="C21">
        <v>207</v>
      </c>
      <c r="D21">
        <v>228</v>
      </c>
      <c r="E21">
        <v>321</v>
      </c>
      <c r="F21" t="s">
        <v>36</v>
      </c>
      <c r="G21" t="s">
        <v>93</v>
      </c>
      <c r="H21" t="s">
        <v>117</v>
      </c>
      <c r="I21" t="s">
        <v>93</v>
      </c>
      <c r="J21" t="s">
        <v>117</v>
      </c>
      <c r="K21" t="s">
        <v>95</v>
      </c>
      <c r="L21" t="s">
        <v>118</v>
      </c>
      <c r="M21" t="s">
        <v>128</v>
      </c>
    </row>
    <row r="22" spans="1:13">
      <c r="A22" t="s">
        <v>126</v>
      </c>
      <c r="B22" t="s">
        <v>129</v>
      </c>
      <c r="C22">
        <v>578</v>
      </c>
      <c r="D22">
        <v>259</v>
      </c>
      <c r="E22">
        <v>1375</v>
      </c>
      <c r="F22" t="s">
        <v>36</v>
      </c>
      <c r="G22" t="s">
        <v>93</v>
      </c>
      <c r="H22" t="s">
        <v>117</v>
      </c>
      <c r="I22" t="s">
        <v>93</v>
      </c>
      <c r="J22" t="s">
        <v>117</v>
      </c>
      <c r="K22" t="s">
        <v>95</v>
      </c>
      <c r="L22" t="s">
        <v>118</v>
      </c>
      <c r="M22" s="12" t="s">
        <v>130</v>
      </c>
    </row>
    <row r="23" spans="1:13">
      <c r="A23" t="s">
        <v>131</v>
      </c>
      <c r="B23" t="s">
        <v>132</v>
      </c>
      <c r="C23">
        <v>475</v>
      </c>
      <c r="D23">
        <v>383</v>
      </c>
      <c r="E23">
        <v>379</v>
      </c>
      <c r="F23" t="s">
        <v>36</v>
      </c>
      <c r="G23" t="s">
        <v>93</v>
      </c>
      <c r="H23" t="s">
        <v>117</v>
      </c>
      <c r="I23" t="s">
        <v>93</v>
      </c>
      <c r="J23" t="s">
        <v>117</v>
      </c>
      <c r="K23" t="s">
        <v>95</v>
      </c>
      <c r="L23" t="s">
        <v>118</v>
      </c>
      <c r="M23" t="s">
        <v>133</v>
      </c>
    </row>
    <row r="24" spans="1:13">
      <c r="A24" t="s">
        <v>134</v>
      </c>
      <c r="B24" t="s">
        <v>135</v>
      </c>
      <c r="C24">
        <v>129</v>
      </c>
      <c r="D24">
        <v>129</v>
      </c>
      <c r="E24">
        <v>130</v>
      </c>
      <c r="F24" t="s">
        <v>36</v>
      </c>
      <c r="G24" t="s">
        <v>93</v>
      </c>
      <c r="H24" t="s">
        <v>117</v>
      </c>
      <c r="I24" t="s">
        <v>93</v>
      </c>
      <c r="J24" t="s">
        <v>117</v>
      </c>
      <c r="K24" t="s">
        <v>95</v>
      </c>
      <c r="L24" t="s">
        <v>118</v>
      </c>
      <c r="M24" t="s">
        <v>136</v>
      </c>
    </row>
    <row r="25" spans="1:13">
      <c r="A25" t="s">
        <v>134</v>
      </c>
      <c r="B25" t="s">
        <v>137</v>
      </c>
      <c r="C25">
        <v>129.30840000000001</v>
      </c>
      <c r="D25">
        <v>129.4102</v>
      </c>
      <c r="E25">
        <v>129.5498</v>
      </c>
      <c r="F25" t="s">
        <v>138</v>
      </c>
      <c r="G25" t="s">
        <v>93</v>
      </c>
      <c r="H25" t="s">
        <v>121</v>
      </c>
      <c r="I25" t="s">
        <v>93</v>
      </c>
      <c r="J25" t="s">
        <v>121</v>
      </c>
      <c r="K25" t="s">
        <v>95</v>
      </c>
      <c r="L25" t="s">
        <v>139</v>
      </c>
      <c r="M25" t="s">
        <v>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435ED-AB7E-467E-A139-53F9303A8950}">
  <dimension ref="A1:B12"/>
  <sheetViews>
    <sheetView workbookViewId="0">
      <selection activeCell="C10" sqref="C10"/>
    </sheetView>
  </sheetViews>
  <sheetFormatPr defaultRowHeight="14.5"/>
  <cols>
    <col min="1" max="1" width="38.6328125" customWidth="1"/>
    <col min="2" max="2" width="15.6328125" customWidth="1"/>
  </cols>
  <sheetData>
    <row r="1" spans="1:2">
      <c r="A1" s="13" t="s">
        <v>80</v>
      </c>
      <c r="B1" s="13" t="s">
        <v>81</v>
      </c>
    </row>
    <row r="2" spans="1:2">
      <c r="A2" s="13"/>
      <c r="B2" s="13"/>
    </row>
    <row r="3" spans="1:2">
      <c r="A3" s="13" t="s">
        <v>144</v>
      </c>
      <c r="B3" s="13" t="str">
        <f>IF(AND(WACC_DCF!B16&gt;0,WACC_DCF!B17=""),"PASS","FAIL")</f>
        <v>PASS</v>
      </c>
    </row>
    <row r="4" spans="1:2">
      <c r="A4" s="13" t="s">
        <v>145</v>
      </c>
      <c r="B4" s="13" t="str">
        <f>IF(WACC_DCF!B19&lt;WACC_DCF!B16,"PASS","FAIL")</f>
        <v>PASS</v>
      </c>
    </row>
    <row r="5" spans="1:2">
      <c r="A5" s="13" t="s">
        <v>146</v>
      </c>
      <c r="B5" s="13" t="str">
        <f>IF(WACC_DCF!B22&gt;0,"PASS","FAIL")</f>
        <v>PASS</v>
      </c>
    </row>
    <row r="6" spans="1:2">
      <c r="A6" s="13" t="s">
        <v>147</v>
      </c>
      <c r="B6" s="13" t="str">
        <f>IF(ABS(WACC_DCF!B35-(WACC_DCF!B33+WACC_DCF!B34))&lt;0.01,"PASS","FAIL")</f>
        <v>PASS</v>
      </c>
    </row>
    <row r="7" spans="1:2">
      <c r="A7" s="13" t="s">
        <v>148</v>
      </c>
      <c r="B7" s="13" t="str">
        <f>IF(COUNTA(WACC_DCF!H13:L17)=25,"PASS","FAIL")</f>
        <v>PASS</v>
      </c>
    </row>
    <row r="8" spans="1:2">
      <c r="A8" s="13" t="s">
        <v>149</v>
      </c>
      <c r="B8" s="13" t="str">
        <f>IF(AND(WACC_DCF!L13&gt;WACC_DCF!I13,WACC_DCF!I13&gt;WACC_DCF!I17),"PASS","FAIL")</f>
        <v>PASS</v>
      </c>
    </row>
    <row r="9" spans="1:2">
      <c r="A9" s="13" t="s">
        <v>150</v>
      </c>
      <c r="B9" s="13" t="str">
        <f>IF(AND(Forecast!F5=Forecast!F2*Assumptions!B5,Forecast!G5=Forecast!G2*Assumptions!C5,Forecast!H5=Forecast!H2*Assumptions!D5,Forecast!F12=Assumptions!B6,Forecast!G12=Assumptions!C6,Forecast!H12=Assumptions!D6),"PASS","FAIL")</f>
        <v>PASS</v>
      </c>
    </row>
    <row r="10" spans="1:2">
      <c r="A10" s="13" t="s">
        <v>151</v>
      </c>
      <c r="B10" s="13" t="str">
        <f>IF(AND(Forecast!C2=Historical_Data!C2,Forecast!D2=Historical_Data!D2,Forecast!E2=Historical_Data!E2),"PASS","FAIL")</f>
        <v>PASS</v>
      </c>
    </row>
    <row r="11" spans="1:2">
      <c r="A11" s="13" t="s">
        <v>152</v>
      </c>
      <c r="B11" s="13" t="str">
        <f>IF(AND(ABS(FCFF!B8-(FCFF!B4+FCFF!B5-FCFF!B6-FCFF!B7))&lt;0.01,ABS(FCFF!C8-(FCFF!C4+FCFF!C5-FCFF!C6-FCFF!C7))&lt;0.01,ABS(FCFF!D8-(FCFF!D4+FCFF!D5-FCFF!D6-FCFF!D7))&lt;0.01),"PASS","FAIL")</f>
        <v>PASS</v>
      </c>
    </row>
    <row r="12" spans="1:2">
      <c r="A12" s="13" t="s">
        <v>153</v>
      </c>
      <c r="B12" s="13" t="str">
        <f>IF(ABS(WACC_DCF!B16-(WACC_DCF!B14*WACC_DCF!B7+WACC_DCF!B15*WACC_DCF!B10))&lt;0.000001,"PASS","FAIL")</f>
        <v>PASS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defaultRowHeight="14.5"/>
  <cols>
    <col min="1" max="1" width="28" customWidth="1"/>
    <col min="2" max="2" width="115" customWidth="1"/>
  </cols>
  <sheetData>
    <row r="1" spans="1:2">
      <c r="A1" t="s">
        <v>154</v>
      </c>
    </row>
    <row r="3" spans="1:2">
      <c r="A3" t="s">
        <v>155</v>
      </c>
      <c r="B3" t="s">
        <v>156</v>
      </c>
    </row>
    <row r="4" spans="1:2">
      <c r="A4" t="s">
        <v>157</v>
      </c>
      <c r="B4" t="s">
        <v>158</v>
      </c>
    </row>
    <row r="5" spans="1:2">
      <c r="A5" t="s">
        <v>159</v>
      </c>
      <c r="B5" t="s">
        <v>160</v>
      </c>
    </row>
    <row r="6" spans="1:2">
      <c r="A6" t="s">
        <v>161</v>
      </c>
      <c r="B6" t="s">
        <v>162</v>
      </c>
    </row>
    <row r="7" spans="1:2">
      <c r="A7" t="s">
        <v>163</v>
      </c>
      <c r="B7" t="s">
        <v>164</v>
      </c>
    </row>
    <row r="8" spans="1:2">
      <c r="A8" t="s">
        <v>165</v>
      </c>
      <c r="B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Forecast</vt:lpstr>
      <vt:lpstr>FCFF</vt:lpstr>
      <vt:lpstr>WACC_DCF</vt:lpstr>
      <vt:lpstr>Historical_Data</vt:lpstr>
      <vt:lpstr>Audit</vt:lpstr>
      <vt:lpstr>Source_Notes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 Dutta</dc:creator>
  <cp:lastModifiedBy>Rimjhim Dutta</cp:lastModifiedBy>
  <dcterms:created xsi:type="dcterms:W3CDTF">2015-06-05T18:17:20Z</dcterms:created>
  <dcterms:modified xsi:type="dcterms:W3CDTF">2026-09-06T08:03:26Z</dcterms:modified>
</cp:coreProperties>
</file>